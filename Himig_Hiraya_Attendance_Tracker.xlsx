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ttendance Logs" sheetId="2" state="visible" r:id="rId2"/>
    <sheet xmlns:r="http://schemas.openxmlformats.org/officeDocument/2006/relationships" name="Member Directory" sheetId="3" state="visible" r:id="rId3"/>
  </sheets>
  <definedNames>
    <definedName name="_xlnm._FilterDatabase" localSheetId="1" hidden="1">'Attendance Logs'!$A$5:$G$25</definedName>
    <definedName name="_xlnm._FilterDatabase" localSheetId="2" hidden="1">'Member Directory'!$A$5:$F$15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64748B"/>
      <sz val="9"/>
    </font>
    <font>
      <name val="Calibri"/>
      <b val="1"/>
      <color rgb="000F172A"/>
      <sz val="20"/>
    </font>
    <font>
      <name val="Calibri"/>
      <b val="1"/>
      <color rgb="000F172A"/>
      <sz val="13"/>
    </font>
    <font>
      <name val="Calibr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375623"/>
        <sz val="11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C65911"/>
        <sz val="11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Status by Voice Section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'Dashboard'!$C$12:$C$15</f>
            </numRef>
          </val>
        </ser>
        <ser>
          <idx val="1"/>
          <order val="1"/>
          <tx>
            <strRef>
              <f>'Dashboard'!D11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'Dashboard'!$D$12:$D$15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Voice 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51" customWidth="1" min="2" max="2"/>
    <col width="91" customWidth="1" min="3" max="3"/>
    <col width="90" customWidth="1" min="4" max="4"/>
    <col width="49" customWidth="1" min="5" max="5"/>
    <col width="12" customWidth="1" min="6" max="6"/>
    <col width="48" customWidth="1" min="7" max="7"/>
    <col width="12" customWidth="1" min="8" max="8"/>
    <col width="27" customWidth="1" min="9" max="9"/>
    <col width="12" customWidth="1" min="10" max="10"/>
    <col width="12" customWidth="1" min="11" max="11"/>
  </cols>
  <sheetData>
    <row r="1"/>
    <row r="2">
      <c r="A2" s="1" t="inlineStr">
        <is>
          <t>HIMIG HIRAYA - ATTENDANCE DASHBOARD</t>
        </is>
      </c>
    </row>
    <row r="3">
      <c r="A3" s="2" t="inlineStr">
        <is>
          <t>Himig bunga ng Pag-asa, Pangarap at Hangarin | Overview &amp; Performance Metrics</t>
        </is>
      </c>
    </row>
    <row r="4"/>
    <row r="5">
      <c r="A5" s="3" t="inlineStr">
        <is>
          <t>ACTIVE MEMBERS</t>
        </is>
      </c>
      <c r="B5" s="4" t="n"/>
      <c r="C5" s="3" t="inlineStr">
        <is>
          <t>TOTAL ATTENDANCE LOGS</t>
        </is>
      </c>
      <c r="D5" s="4" t="n"/>
      <c r="E5" s="3" t="inlineStr">
        <is>
          <t>TOTAL PRESENT</t>
        </is>
      </c>
      <c r="F5" s="4" t="n"/>
      <c r="G5" s="3" t="inlineStr">
        <is>
          <t>TOTAL ABSENT</t>
        </is>
      </c>
      <c r="H5" s="4" t="n"/>
      <c r="I5" s="3" t="inlineStr">
        <is>
          <t>OVERALL ATTENDANCE RATE</t>
        </is>
      </c>
      <c r="J5" s="4" t="n"/>
    </row>
    <row r="6">
      <c r="A6" s="5">
        <f>COUNTA('Member Directory'!A6:A15)</f>
        <v/>
      </c>
      <c r="B6" s="4" t="n"/>
      <c r="C6" s="5">
        <f>COUNTA('Attendance Logs'!A6:A25)</f>
        <v/>
      </c>
      <c r="D6" s="4" t="n"/>
      <c r="E6" s="5">
        <f>COUNTIF('Attendance Logs'!E6:E25, "Present")</f>
        <v/>
      </c>
      <c r="F6" s="4" t="n"/>
      <c r="G6" s="5">
        <f>COUNTIF('Attendance Logs'!E6:E25, "Absent")</f>
        <v/>
      </c>
      <c r="H6" s="4" t="n"/>
      <c r="I6" s="6">
        <f>E6/C6</f>
        <v/>
      </c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/>
    <row r="9"/>
    <row r="10">
      <c r="A10" s="7" t="inlineStr">
        <is>
          <t>Attendance Summary by Voice Section</t>
        </is>
      </c>
    </row>
    <row r="11" ht="22" customHeight="1">
      <c r="A11" s="8" t="inlineStr">
        <is>
          <t>Voice Section</t>
        </is>
      </c>
      <c r="B11" s="8" t="inlineStr">
        <is>
          <t>Total Logs</t>
        </is>
      </c>
      <c r="C11" s="8" t="inlineStr">
        <is>
          <t>Present Count</t>
        </is>
      </c>
      <c r="D11" s="8" t="inlineStr">
        <is>
          <t>Absent Count</t>
        </is>
      </c>
      <c r="E11" s="8" t="inlineStr">
        <is>
          <t>Attendance Rate</t>
        </is>
      </c>
    </row>
    <row r="12" ht="20" customHeight="1">
      <c r="A12" s="9" t="inlineStr">
        <is>
          <t>Soprano</t>
        </is>
      </c>
      <c r="B12" s="10">
        <f>COUNTIF('Attendance Logs'!D$6:D$25, "Soprano")</f>
        <v/>
      </c>
      <c r="C12" s="10">
        <f>COUNTIFS('Attendance Logs'!D$6:D$25, "Soprano", 'Attendance Logs'!E$6:E$25, "Present")</f>
        <v/>
      </c>
      <c r="D12" s="10">
        <f>COUNTIFS('Attendance Logs'!D$6:D$25, "Soprano", 'Attendance Logs'!E$6:E$25, "Absent")</f>
        <v/>
      </c>
      <c r="E12" s="11">
        <f>C12/B12</f>
        <v/>
      </c>
    </row>
    <row r="13" ht="20" customHeight="1">
      <c r="A13" s="9" t="inlineStr">
        <is>
          <t>Alto</t>
        </is>
      </c>
      <c r="B13" s="10">
        <f>COUNTIF('Attendance Logs'!D$6:D$25, "Alto")</f>
        <v/>
      </c>
      <c r="C13" s="10">
        <f>COUNTIFS('Attendance Logs'!D$6:D$25, "Alto", 'Attendance Logs'!E$6:E$25, "Present")</f>
        <v/>
      </c>
      <c r="D13" s="10">
        <f>COUNTIFS('Attendance Logs'!D$6:D$25, "Alto", 'Attendance Logs'!E$6:E$25, "Absent")</f>
        <v/>
      </c>
      <c r="E13" s="11">
        <f>C13/B13</f>
        <v/>
      </c>
    </row>
    <row r="14" ht="20" customHeight="1">
      <c r="A14" s="9" t="inlineStr">
        <is>
          <t>Tenor</t>
        </is>
      </c>
      <c r="B14" s="10">
        <f>COUNTIF('Attendance Logs'!D$6:D$25, "Tenor")</f>
        <v/>
      </c>
      <c r="C14" s="10">
        <f>COUNTIFS('Attendance Logs'!D$6:D$25, "Tenor", 'Attendance Logs'!E$6:E$25, "Present")</f>
        <v/>
      </c>
      <c r="D14" s="10">
        <f>COUNTIFS('Attendance Logs'!D$6:D$25, "Tenor", 'Attendance Logs'!E$6:E$25, "Absent")</f>
        <v/>
      </c>
      <c r="E14" s="11">
        <f>C14/B14</f>
        <v/>
      </c>
    </row>
    <row r="15" ht="20" customHeight="1">
      <c r="A15" s="9" t="inlineStr">
        <is>
          <t>Bass</t>
        </is>
      </c>
      <c r="B15" s="10">
        <f>COUNTIF('Attendance Logs'!D$6:D$25, "Bass")</f>
        <v/>
      </c>
      <c r="C15" s="10">
        <f>COUNTIFS('Attendance Logs'!D$6:D$25, "Bass", 'Attendance Logs'!E$6:E$25, "Present")</f>
        <v/>
      </c>
      <c r="D15" s="10">
        <f>COUNTIFS('Attendance Logs'!D$6:D$25, "Bass", 'Attendance Logs'!E$6:E$25, "Absent")</f>
        <v/>
      </c>
      <c r="E15" s="11">
        <f>C15/B15</f>
        <v/>
      </c>
    </row>
    <row r="16" ht="22" customHeight="1">
      <c r="A16" s="12" t="inlineStr">
        <is>
          <t>Total / Average</t>
        </is>
      </c>
      <c r="B16" s="12">
        <f>SUM(B12:B15)</f>
        <v/>
      </c>
      <c r="C16" s="12">
        <f>SUM(C12:C15)</f>
        <v/>
      </c>
      <c r="D16" s="12">
        <f>SUM(D12:D15)</f>
        <v/>
      </c>
      <c r="E16" s="13">
        <f>C16/B16</f>
        <v/>
      </c>
    </row>
  </sheetData>
  <mergeCells count="13">
    <mergeCell ref="A3:K3"/>
    <mergeCell ref="C6:D7"/>
    <mergeCell ref="E6:F7"/>
    <mergeCell ref="G6:H7"/>
    <mergeCell ref="I6:J7"/>
    <mergeCell ref="A10:E10"/>
    <mergeCell ref="C5:D5"/>
    <mergeCell ref="A5:B5"/>
    <mergeCell ref="A2:K2"/>
    <mergeCell ref="A6:B7"/>
    <mergeCell ref="E5:F5"/>
    <mergeCell ref="G5:H5"/>
    <mergeCell ref="I5:J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25" customWidth="1" min="3" max="3"/>
    <col width="17" customWidth="1" min="4" max="4"/>
    <col width="12" customWidth="1" min="5" max="5"/>
    <col width="18" customWidth="1" min="6" max="6"/>
    <col width="22" customWidth="1" min="7" max="7"/>
  </cols>
  <sheetData>
    <row r="1"/>
    <row r="2">
      <c r="A2" s="1" t="inlineStr">
        <is>
          <t>HIMIG HIRAYA - ATTENDANCE LOGS</t>
        </is>
      </c>
    </row>
    <row r="3">
      <c r="A3" s="2" t="inlineStr">
        <is>
          <t>Official Rehearsal &amp; Event Attendance Records</t>
        </is>
      </c>
    </row>
    <row r="4"/>
    <row r="5" ht="25" customHeight="1">
      <c r="A5" s="8" t="inlineStr">
        <is>
          <t>Log ID</t>
        </is>
      </c>
      <c r="B5" s="8" t="inlineStr">
        <is>
          <t>Date</t>
        </is>
      </c>
      <c r="C5" s="8" t="inlineStr">
        <is>
          <t>Full Name</t>
        </is>
      </c>
      <c r="D5" s="8" t="inlineStr">
        <is>
          <t>Voice Section</t>
        </is>
      </c>
      <c r="E5" s="8" t="inlineStr">
        <is>
          <t>Status</t>
        </is>
      </c>
      <c r="F5" s="8" t="inlineStr">
        <is>
          <t>Time Submitted</t>
        </is>
      </c>
      <c r="G5" s="8" t="inlineStr">
        <is>
          <t>Remarks</t>
        </is>
      </c>
    </row>
    <row r="6" ht="20" customHeight="1">
      <c r="A6" s="10" t="inlineStr">
        <is>
          <t>LOG-1001</t>
        </is>
      </c>
      <c r="B6" s="10" t="inlineStr">
        <is>
          <t>2026-08-01</t>
        </is>
      </c>
      <c r="C6" s="14" t="inlineStr">
        <is>
          <t>Maria Santos</t>
        </is>
      </c>
      <c r="D6" s="10" t="inlineStr">
        <is>
          <t>Soprano</t>
        </is>
      </c>
      <c r="E6" s="10" t="inlineStr">
        <is>
          <t>Present</t>
        </is>
      </c>
      <c r="F6" s="10" t="inlineStr">
        <is>
          <t>06:45 PM</t>
        </is>
      </c>
      <c r="G6" s="14" t="inlineStr">
        <is>
          <t>On Time</t>
        </is>
      </c>
    </row>
    <row r="7" ht="20" customHeight="1">
      <c r="A7" s="15" t="inlineStr">
        <is>
          <t>LOG-1002</t>
        </is>
      </c>
      <c r="B7" s="15" t="inlineStr">
        <is>
          <t>2026-08-01</t>
        </is>
      </c>
      <c r="C7" s="16" t="inlineStr">
        <is>
          <t>Juan Dela Cruz</t>
        </is>
      </c>
      <c r="D7" s="15" t="inlineStr">
        <is>
          <t>Tenor</t>
        </is>
      </c>
      <c r="E7" s="15" t="inlineStr">
        <is>
          <t>Present</t>
        </is>
      </c>
      <c r="F7" s="15" t="inlineStr">
        <is>
          <t>06:50 PM</t>
        </is>
      </c>
      <c r="G7" s="16" t="inlineStr">
        <is>
          <t>On Time</t>
        </is>
      </c>
    </row>
    <row r="8" ht="20" customHeight="1">
      <c r="A8" s="10" t="inlineStr">
        <is>
          <t>LOG-1003</t>
        </is>
      </c>
      <c r="B8" s="10" t="inlineStr">
        <is>
          <t>2026-08-01</t>
        </is>
      </c>
      <c r="C8" s="14" t="inlineStr">
        <is>
          <t>Angelica Reyes</t>
        </is>
      </c>
      <c r="D8" s="10" t="inlineStr">
        <is>
          <t>Alto</t>
        </is>
      </c>
      <c r="E8" s="10" t="inlineStr">
        <is>
          <t>Present</t>
        </is>
      </c>
      <c r="F8" s="10" t="inlineStr">
        <is>
          <t>06:52 PM</t>
        </is>
      </c>
      <c r="G8" s="14" t="inlineStr">
        <is>
          <t>On Time</t>
        </is>
      </c>
    </row>
    <row r="9" ht="20" customHeight="1">
      <c r="A9" s="15" t="inlineStr">
        <is>
          <t>LOG-1004</t>
        </is>
      </c>
      <c r="B9" s="15" t="inlineStr">
        <is>
          <t>2026-08-01</t>
        </is>
      </c>
      <c r="C9" s="16" t="inlineStr">
        <is>
          <t>Mark Anthony Bautista</t>
        </is>
      </c>
      <c r="D9" s="15" t="inlineStr">
        <is>
          <t>Bass</t>
        </is>
      </c>
      <c r="E9" s="15" t="inlineStr">
        <is>
          <t>Absent</t>
        </is>
      </c>
      <c r="F9" s="15" t="inlineStr">
        <is>
          <t>-</t>
        </is>
      </c>
      <c r="G9" s="16" t="inlineStr">
        <is>
          <t>Work Conflict</t>
        </is>
      </c>
    </row>
    <row r="10" ht="20" customHeight="1">
      <c r="A10" s="10" t="inlineStr">
        <is>
          <t>LOG-1005</t>
        </is>
      </c>
      <c r="B10" s="10" t="inlineStr">
        <is>
          <t>2026-08-01</t>
        </is>
      </c>
      <c r="C10" s="14" t="inlineStr">
        <is>
          <t>Sofia Garcia</t>
        </is>
      </c>
      <c r="D10" s="10" t="inlineStr">
        <is>
          <t>Soprano</t>
        </is>
      </c>
      <c r="E10" s="10" t="inlineStr">
        <is>
          <t>Present</t>
        </is>
      </c>
      <c r="F10" s="10" t="inlineStr">
        <is>
          <t>06:58 PM</t>
        </is>
      </c>
      <c r="G10" s="14" t="inlineStr">
        <is>
          <t>On Time</t>
        </is>
      </c>
    </row>
    <row r="11" ht="20" customHeight="1">
      <c r="A11" s="15" t="inlineStr">
        <is>
          <t>LOG-1006</t>
        </is>
      </c>
      <c r="B11" s="15" t="inlineStr">
        <is>
          <t>2026-08-01</t>
        </is>
      </c>
      <c r="C11" s="16" t="inlineStr">
        <is>
          <t>Gabriel Mendoza</t>
        </is>
      </c>
      <c r="D11" s="15" t="inlineStr">
        <is>
          <t>Bass</t>
        </is>
      </c>
      <c r="E11" s="15" t="inlineStr">
        <is>
          <t>Present</t>
        </is>
      </c>
      <c r="F11" s="15" t="inlineStr">
        <is>
          <t>07:05 PM</t>
        </is>
      </c>
      <c r="G11" s="16" t="inlineStr">
        <is>
          <t>Late</t>
        </is>
      </c>
    </row>
    <row r="12" ht="20" customHeight="1">
      <c r="A12" s="10" t="inlineStr">
        <is>
          <t>LOG-1007</t>
        </is>
      </c>
      <c r="B12" s="10" t="inlineStr">
        <is>
          <t>2026-08-01</t>
        </is>
      </c>
      <c r="C12" s="14" t="inlineStr">
        <is>
          <t>Bea Alonso</t>
        </is>
      </c>
      <c r="D12" s="10" t="inlineStr">
        <is>
          <t>Alto</t>
        </is>
      </c>
      <c r="E12" s="10" t="inlineStr">
        <is>
          <t>Present</t>
        </is>
      </c>
      <c r="F12" s="10" t="inlineStr">
        <is>
          <t>06:40 PM</t>
        </is>
      </c>
      <c r="G12" s="14" t="inlineStr">
        <is>
          <t>On Time</t>
        </is>
      </c>
    </row>
    <row r="13" ht="20" customHeight="1">
      <c r="A13" s="15" t="inlineStr">
        <is>
          <t>LOG-1008</t>
        </is>
      </c>
      <c r="B13" s="15" t="inlineStr">
        <is>
          <t>2026-08-01</t>
        </is>
      </c>
      <c r="C13" s="16" t="inlineStr">
        <is>
          <t>Christian Ramos</t>
        </is>
      </c>
      <c r="D13" s="15" t="inlineStr">
        <is>
          <t>Tenor</t>
        </is>
      </c>
      <c r="E13" s="15" t="inlineStr">
        <is>
          <t>Absent</t>
        </is>
      </c>
      <c r="F13" s="15" t="inlineStr">
        <is>
          <t>-</t>
        </is>
      </c>
      <c r="G13" s="16" t="inlineStr">
        <is>
          <t>Sick Leave</t>
        </is>
      </c>
    </row>
    <row r="14" ht="20" customHeight="1">
      <c r="A14" s="10" t="inlineStr">
        <is>
          <t>LOG-1009</t>
        </is>
      </c>
      <c r="B14" s="10" t="inlineStr">
        <is>
          <t>2026-08-01</t>
        </is>
      </c>
      <c r="C14" s="14" t="inlineStr">
        <is>
          <t>Camille Cruz</t>
        </is>
      </c>
      <c r="D14" s="10" t="inlineStr">
        <is>
          <t>Soprano</t>
        </is>
      </c>
      <c r="E14" s="10" t="inlineStr">
        <is>
          <t>Present</t>
        </is>
      </c>
      <c r="F14" s="10" t="inlineStr">
        <is>
          <t>06:48 PM</t>
        </is>
      </c>
      <c r="G14" s="14" t="inlineStr">
        <is>
          <t>On Time</t>
        </is>
      </c>
    </row>
    <row r="15" ht="20" customHeight="1">
      <c r="A15" s="15" t="inlineStr">
        <is>
          <t>LOG-1010</t>
        </is>
      </c>
      <c r="B15" s="15" t="inlineStr">
        <is>
          <t>2026-08-01</t>
        </is>
      </c>
      <c r="C15" s="16" t="inlineStr">
        <is>
          <t>Joshua Aquino</t>
        </is>
      </c>
      <c r="D15" s="15" t="inlineStr">
        <is>
          <t>Tenor</t>
        </is>
      </c>
      <c r="E15" s="15" t="inlineStr">
        <is>
          <t>Present</t>
        </is>
      </c>
      <c r="F15" s="15" t="inlineStr">
        <is>
          <t>06:55 PM</t>
        </is>
      </c>
      <c r="G15" s="16" t="inlineStr">
        <is>
          <t>On Time</t>
        </is>
      </c>
    </row>
    <row r="16" ht="20" customHeight="1">
      <c r="A16" s="10" t="inlineStr">
        <is>
          <t>LOG-1011</t>
        </is>
      </c>
      <c r="B16" s="10" t="inlineStr">
        <is>
          <t>2026-08-04</t>
        </is>
      </c>
      <c r="C16" s="14" t="inlineStr">
        <is>
          <t>Maria Santos</t>
        </is>
      </c>
      <c r="D16" s="10" t="inlineStr">
        <is>
          <t>Soprano</t>
        </is>
      </c>
      <c r="E16" s="10" t="inlineStr">
        <is>
          <t>Present</t>
        </is>
      </c>
      <c r="F16" s="10" t="inlineStr">
        <is>
          <t>06:42 PM</t>
        </is>
      </c>
      <c r="G16" s="14" t="inlineStr">
        <is>
          <t>On Time</t>
        </is>
      </c>
    </row>
    <row r="17" ht="20" customHeight="1">
      <c r="A17" s="15" t="inlineStr">
        <is>
          <t>LOG-1012</t>
        </is>
      </c>
      <c r="B17" s="15" t="inlineStr">
        <is>
          <t>2026-08-04</t>
        </is>
      </c>
      <c r="C17" s="16" t="inlineStr">
        <is>
          <t>Juan Dela Cruz</t>
        </is>
      </c>
      <c r="D17" s="15" t="inlineStr">
        <is>
          <t>Tenor</t>
        </is>
      </c>
      <c r="E17" s="15" t="inlineStr">
        <is>
          <t>Present</t>
        </is>
      </c>
      <c r="F17" s="15" t="inlineStr">
        <is>
          <t>06:45 PM</t>
        </is>
      </c>
      <c r="G17" s="16" t="inlineStr">
        <is>
          <t>On Time</t>
        </is>
      </c>
    </row>
    <row r="18" ht="20" customHeight="1">
      <c r="A18" s="10" t="inlineStr">
        <is>
          <t>LOG-1013</t>
        </is>
      </c>
      <c r="B18" s="10" t="inlineStr">
        <is>
          <t>2026-08-04</t>
        </is>
      </c>
      <c r="C18" s="14" t="inlineStr">
        <is>
          <t>Angelica Reyes</t>
        </is>
      </c>
      <c r="D18" s="10" t="inlineStr">
        <is>
          <t>Alto</t>
        </is>
      </c>
      <c r="E18" s="10" t="inlineStr">
        <is>
          <t>Present</t>
        </is>
      </c>
      <c r="F18" s="10" t="inlineStr">
        <is>
          <t>06:50 PM</t>
        </is>
      </c>
      <c r="G18" s="14" t="inlineStr">
        <is>
          <t>On Time</t>
        </is>
      </c>
    </row>
    <row r="19" ht="20" customHeight="1">
      <c r="A19" s="15" t="inlineStr">
        <is>
          <t>LOG-1014</t>
        </is>
      </c>
      <c r="B19" s="15" t="inlineStr">
        <is>
          <t>2026-08-04</t>
        </is>
      </c>
      <c r="C19" s="16" t="inlineStr">
        <is>
          <t>Mark Anthony Bautista</t>
        </is>
      </c>
      <c r="D19" s="15" t="inlineStr">
        <is>
          <t>Bass</t>
        </is>
      </c>
      <c r="E19" s="15" t="inlineStr">
        <is>
          <t>Present</t>
        </is>
      </c>
      <c r="F19" s="15" t="inlineStr">
        <is>
          <t>06:55 PM</t>
        </is>
      </c>
      <c r="G19" s="16" t="inlineStr">
        <is>
          <t>On Time</t>
        </is>
      </c>
    </row>
    <row r="20" ht="20" customHeight="1">
      <c r="A20" s="10" t="inlineStr">
        <is>
          <t>LOG-1015</t>
        </is>
      </c>
      <c r="B20" s="10" t="inlineStr">
        <is>
          <t>2026-08-04</t>
        </is>
      </c>
      <c r="C20" s="14" t="inlineStr">
        <is>
          <t>Sofia Garcia</t>
        </is>
      </c>
      <c r="D20" s="10" t="inlineStr">
        <is>
          <t>Soprano</t>
        </is>
      </c>
      <c r="E20" s="10" t="inlineStr">
        <is>
          <t>Absent</t>
        </is>
      </c>
      <c r="F20" s="10" t="inlineStr">
        <is>
          <t>-</t>
        </is>
      </c>
      <c r="G20" s="14" t="inlineStr">
        <is>
          <t>Personal Emergency</t>
        </is>
      </c>
    </row>
    <row r="21" ht="20" customHeight="1">
      <c r="A21" s="15" t="inlineStr">
        <is>
          <t>LOG-1016</t>
        </is>
      </c>
      <c r="B21" s="15" t="inlineStr">
        <is>
          <t>2026-08-04</t>
        </is>
      </c>
      <c r="C21" s="16" t="inlineStr">
        <is>
          <t>Gabriel Mendoza</t>
        </is>
      </c>
      <c r="D21" s="15" t="inlineStr">
        <is>
          <t>Bass</t>
        </is>
      </c>
      <c r="E21" s="15" t="inlineStr">
        <is>
          <t>Present</t>
        </is>
      </c>
      <c r="F21" s="15" t="inlineStr">
        <is>
          <t>07:00 PM</t>
        </is>
      </c>
      <c r="G21" s="16" t="inlineStr">
        <is>
          <t>On Time</t>
        </is>
      </c>
    </row>
    <row r="22" ht="20" customHeight="1">
      <c r="A22" s="10" t="inlineStr">
        <is>
          <t>LOG-1017</t>
        </is>
      </c>
      <c r="B22" s="10" t="inlineStr">
        <is>
          <t>2026-08-04</t>
        </is>
      </c>
      <c r="C22" s="14" t="inlineStr">
        <is>
          <t>Bea Alonso</t>
        </is>
      </c>
      <c r="D22" s="10" t="inlineStr">
        <is>
          <t>Alto</t>
        </is>
      </c>
      <c r="E22" s="10" t="inlineStr">
        <is>
          <t>Present</t>
        </is>
      </c>
      <c r="F22" s="10" t="inlineStr">
        <is>
          <t>06:44 PM</t>
        </is>
      </c>
      <c r="G22" s="14" t="inlineStr">
        <is>
          <t>On Time</t>
        </is>
      </c>
    </row>
    <row r="23" ht="20" customHeight="1">
      <c r="A23" s="15" t="inlineStr">
        <is>
          <t>LOG-1018</t>
        </is>
      </c>
      <c r="B23" s="15" t="inlineStr">
        <is>
          <t>2026-08-04</t>
        </is>
      </c>
      <c r="C23" s="16" t="inlineStr">
        <is>
          <t>Christian Ramos</t>
        </is>
      </c>
      <c r="D23" s="15" t="inlineStr">
        <is>
          <t>Tenor</t>
        </is>
      </c>
      <c r="E23" s="15" t="inlineStr">
        <is>
          <t>Present</t>
        </is>
      </c>
      <c r="F23" s="15" t="inlineStr">
        <is>
          <t>06:49 PM</t>
        </is>
      </c>
      <c r="G23" s="16" t="inlineStr">
        <is>
          <t>On Time</t>
        </is>
      </c>
    </row>
    <row r="24" ht="20" customHeight="1">
      <c r="A24" s="10" t="inlineStr">
        <is>
          <t>LOG-1019</t>
        </is>
      </c>
      <c r="B24" s="10" t="inlineStr">
        <is>
          <t>2026-08-04</t>
        </is>
      </c>
      <c r="C24" s="14" t="inlineStr">
        <is>
          <t>Camille Cruz</t>
        </is>
      </c>
      <c r="D24" s="10" t="inlineStr">
        <is>
          <t>Soprano</t>
        </is>
      </c>
      <c r="E24" s="10" t="inlineStr">
        <is>
          <t>Present</t>
        </is>
      </c>
      <c r="F24" s="10" t="inlineStr">
        <is>
          <t>06:51 PM</t>
        </is>
      </c>
      <c r="G24" s="14" t="inlineStr">
        <is>
          <t>On Time</t>
        </is>
      </c>
    </row>
    <row r="25" ht="20" customHeight="1">
      <c r="A25" s="15" t="inlineStr">
        <is>
          <t>LOG-1020</t>
        </is>
      </c>
      <c r="B25" s="15" t="inlineStr">
        <is>
          <t>2026-08-04</t>
        </is>
      </c>
      <c r="C25" s="16" t="inlineStr">
        <is>
          <t>Joshua Aquino</t>
        </is>
      </c>
      <c r="D25" s="15" t="inlineStr">
        <is>
          <t>Tenor</t>
        </is>
      </c>
      <c r="E25" s="15" t="inlineStr">
        <is>
          <t>Absent</t>
        </is>
      </c>
      <c r="F25" s="15" t="inlineStr">
        <is>
          <t>-</t>
        </is>
      </c>
      <c r="G25" s="16" t="inlineStr">
        <is>
          <t>Academic Exam</t>
        </is>
      </c>
    </row>
  </sheetData>
  <autoFilter ref="A5:G25"/>
  <mergeCells count="2">
    <mergeCell ref="A3:G3"/>
    <mergeCell ref="A2:G2"/>
  </mergeCells>
  <conditionalFormatting sqref="E6:E100">
    <cfRule type="cellIs" priority="1" operator="equal" dxfId="0">
      <formula>"Present"</formula>
    </cfRule>
    <cfRule type="cellIs" priority="2" operator="equal" dxfId="1">
      <formula>"Absent"</formula>
    </cfRule>
  </conditionalFormatting>
  <dataValidations count="1">
    <dataValidation sqref="E6:E100" showDropDown="0" showInputMessage="0" showErrorMessage="0" allowBlank="1" type="list">
      <formula1>"Present,Absent"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7" customWidth="1" min="3" max="3"/>
    <col width="29" customWidth="1" min="4" max="4"/>
    <col width="15" customWidth="1" min="5" max="5"/>
    <col width="12" customWidth="1" min="6" max="6"/>
  </cols>
  <sheetData>
    <row r="1"/>
    <row r="2">
      <c r="A2" s="1" t="inlineStr">
        <is>
          <t>HIMIG HIRAYA - MEMBER DIRECTORY</t>
        </is>
      </c>
    </row>
    <row r="3">
      <c r="A3" s="2" t="inlineStr">
        <is>
          <t>Registered Choir Members &amp; Roster Details</t>
        </is>
      </c>
    </row>
    <row r="4"/>
    <row r="5" ht="25" customHeight="1">
      <c r="A5" s="8" t="inlineStr">
        <is>
          <t>Member ID</t>
        </is>
      </c>
      <c r="B5" s="8" t="inlineStr">
        <is>
          <t>Full Name</t>
        </is>
      </c>
      <c r="C5" s="8" t="inlineStr">
        <is>
          <t>Voice Section</t>
        </is>
      </c>
      <c r="D5" s="8" t="inlineStr">
        <is>
          <t>Contact Email</t>
        </is>
      </c>
      <c r="E5" s="8" t="inlineStr">
        <is>
          <t>Date Joined</t>
        </is>
      </c>
      <c r="F5" s="8" t="inlineStr">
        <is>
          <t>Status</t>
        </is>
      </c>
    </row>
    <row r="6" ht="20" customHeight="1">
      <c r="A6" s="10" t="inlineStr">
        <is>
          <t>HH-001</t>
        </is>
      </c>
      <c r="B6" s="14" t="inlineStr">
        <is>
          <t>Maria Santos</t>
        </is>
      </c>
      <c r="C6" s="10" t="inlineStr">
        <is>
          <t>Soprano</t>
        </is>
      </c>
      <c r="D6" s="14" t="inlineStr">
        <is>
          <t>maria.santos@gmail.com</t>
        </is>
      </c>
      <c r="E6" s="10" t="inlineStr">
        <is>
          <t>2023-01-15</t>
        </is>
      </c>
      <c r="F6" s="10" t="inlineStr">
        <is>
          <t>Active</t>
        </is>
      </c>
    </row>
    <row r="7" ht="20" customHeight="1">
      <c r="A7" s="15" t="inlineStr">
        <is>
          <t>HH-002</t>
        </is>
      </c>
      <c r="B7" s="16" t="inlineStr">
        <is>
          <t>Juan Dela Cruz</t>
        </is>
      </c>
      <c r="C7" s="15" t="inlineStr">
        <is>
          <t>Tenor</t>
        </is>
      </c>
      <c r="D7" s="16" t="inlineStr">
        <is>
          <t>juan.delacruz@gmail.com</t>
        </is>
      </c>
      <c r="E7" s="15" t="inlineStr">
        <is>
          <t>2023-01-15</t>
        </is>
      </c>
      <c r="F7" s="15" t="inlineStr">
        <is>
          <t>Active</t>
        </is>
      </c>
    </row>
    <row r="8" ht="20" customHeight="1">
      <c r="A8" s="10" t="inlineStr">
        <is>
          <t>HH-003</t>
        </is>
      </c>
      <c r="B8" s="14" t="inlineStr">
        <is>
          <t>Angelica Reyes</t>
        </is>
      </c>
      <c r="C8" s="10" t="inlineStr">
        <is>
          <t>Alto</t>
        </is>
      </c>
      <c r="D8" s="14" t="inlineStr">
        <is>
          <t>angelica.reyes@gmail.com</t>
        </is>
      </c>
      <c r="E8" s="10" t="inlineStr">
        <is>
          <t>2023-02-10</t>
        </is>
      </c>
      <c r="F8" s="10" t="inlineStr">
        <is>
          <t>Active</t>
        </is>
      </c>
    </row>
    <row r="9" ht="20" customHeight="1">
      <c r="A9" s="15" t="inlineStr">
        <is>
          <t>HH-004</t>
        </is>
      </c>
      <c r="B9" s="16" t="inlineStr">
        <is>
          <t>Mark Anthony Bautista</t>
        </is>
      </c>
      <c r="C9" s="15" t="inlineStr">
        <is>
          <t>Bass</t>
        </is>
      </c>
      <c r="D9" s="16" t="inlineStr">
        <is>
          <t>mark.bautista@gmail.com</t>
        </is>
      </c>
      <c r="E9" s="15" t="inlineStr">
        <is>
          <t>2023-02-10</t>
        </is>
      </c>
      <c r="F9" s="15" t="inlineStr">
        <is>
          <t>Active</t>
        </is>
      </c>
    </row>
    <row r="10" ht="20" customHeight="1">
      <c r="A10" s="10" t="inlineStr">
        <is>
          <t>HH-005</t>
        </is>
      </c>
      <c r="B10" s="14" t="inlineStr">
        <is>
          <t>Sofia Garcia</t>
        </is>
      </c>
      <c r="C10" s="10" t="inlineStr">
        <is>
          <t>Soprano</t>
        </is>
      </c>
      <c r="D10" s="14" t="inlineStr">
        <is>
          <t>sofia.garcia@gmail.com</t>
        </is>
      </c>
      <c r="E10" s="10" t="inlineStr">
        <is>
          <t>2023-05-20</t>
        </is>
      </c>
      <c r="F10" s="10" t="inlineStr">
        <is>
          <t>Active</t>
        </is>
      </c>
    </row>
    <row r="11" ht="20" customHeight="1">
      <c r="A11" s="15" t="inlineStr">
        <is>
          <t>HH-006</t>
        </is>
      </c>
      <c r="B11" s="16" t="inlineStr">
        <is>
          <t>Gabriel Mendoza</t>
        </is>
      </c>
      <c r="C11" s="15" t="inlineStr">
        <is>
          <t>Bass</t>
        </is>
      </c>
      <c r="D11" s="16" t="inlineStr">
        <is>
          <t>gabriel.mendoza@gmail.com</t>
        </is>
      </c>
      <c r="E11" s="15" t="inlineStr">
        <is>
          <t>2023-06-01</t>
        </is>
      </c>
      <c r="F11" s="15" t="inlineStr">
        <is>
          <t>Active</t>
        </is>
      </c>
    </row>
    <row r="12" ht="20" customHeight="1">
      <c r="A12" s="10" t="inlineStr">
        <is>
          <t>HH-007</t>
        </is>
      </c>
      <c r="B12" s="14" t="inlineStr">
        <is>
          <t>Bea Alonso</t>
        </is>
      </c>
      <c r="C12" s="10" t="inlineStr">
        <is>
          <t>Alto</t>
        </is>
      </c>
      <c r="D12" s="14" t="inlineStr">
        <is>
          <t>bea.alonso@gmail.com</t>
        </is>
      </c>
      <c r="E12" s="10" t="inlineStr">
        <is>
          <t>2023-08-14</t>
        </is>
      </c>
      <c r="F12" s="10" t="inlineStr">
        <is>
          <t>Active</t>
        </is>
      </c>
    </row>
    <row r="13" ht="20" customHeight="1">
      <c r="A13" s="15" t="inlineStr">
        <is>
          <t>HH-008</t>
        </is>
      </c>
      <c r="B13" s="16" t="inlineStr">
        <is>
          <t>Christian Ramos</t>
        </is>
      </c>
      <c r="C13" s="15" t="inlineStr">
        <is>
          <t>Tenor</t>
        </is>
      </c>
      <c r="D13" s="16" t="inlineStr">
        <is>
          <t>christian.ramos@gmail.com</t>
        </is>
      </c>
      <c r="E13" s="15" t="inlineStr">
        <is>
          <t>2023-09-01</t>
        </is>
      </c>
      <c r="F13" s="15" t="inlineStr">
        <is>
          <t>Active</t>
        </is>
      </c>
    </row>
    <row r="14" ht="20" customHeight="1">
      <c r="A14" s="10" t="inlineStr">
        <is>
          <t>HH-009</t>
        </is>
      </c>
      <c r="B14" s="14" t="inlineStr">
        <is>
          <t>Camille Cruz</t>
        </is>
      </c>
      <c r="C14" s="10" t="inlineStr">
        <is>
          <t>Soprano</t>
        </is>
      </c>
      <c r="D14" s="14" t="inlineStr">
        <is>
          <t>camille.cruz@gmail.com</t>
        </is>
      </c>
      <c r="E14" s="10" t="inlineStr">
        <is>
          <t>2024-01-10</t>
        </is>
      </c>
      <c r="F14" s="10" t="inlineStr">
        <is>
          <t>Active</t>
        </is>
      </c>
    </row>
    <row r="15" ht="20" customHeight="1">
      <c r="A15" s="15" t="inlineStr">
        <is>
          <t>HH-010</t>
        </is>
      </c>
      <c r="B15" s="16" t="inlineStr">
        <is>
          <t>Joshua Aquino</t>
        </is>
      </c>
      <c r="C15" s="15" t="inlineStr">
        <is>
          <t>Tenor</t>
        </is>
      </c>
      <c r="D15" s="16" t="inlineStr">
        <is>
          <t>joshua.aquino@gmail.com</t>
        </is>
      </c>
      <c r="E15" s="15" t="inlineStr">
        <is>
          <t>2024-02-15</t>
        </is>
      </c>
      <c r="F15" s="15" t="inlineStr">
        <is>
          <t>Active</t>
        </is>
      </c>
    </row>
  </sheetData>
  <autoFilter ref="A5:F15"/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2026-08-04T14:53:37Z</dcterms:created>
  <dcterms:modified xmlns:dcterms="http://purl.org/dc/terms/" xmlns:xsi="http://www.w3.org/2001/XMLSchema-instance" xsi:type="dcterms:W3CDTF">2026-08-04T14:53:37Z</dcterms:modified>
</cp:coreProperties>
</file>